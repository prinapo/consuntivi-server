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top4holdingsrl-my.sharepoint.com/personal/chiara_gandolla_top4holding_com/Documents/Desktop/Appoggio/"/>
    </mc:Choice>
  </mc:AlternateContent>
  <xr:revisionPtr revIDLastSave="2" documentId="8_{38BF2AF4-3B5F-41A5-AE87-A3AEA1D48C9C}" xr6:coauthVersionLast="47" xr6:coauthVersionMax="47" xr10:uidLastSave="{C2701CF0-DBCE-4B2B-AC25-67E3ABECB3AD}"/>
  <bookViews>
    <workbookView xWindow="-108" yWindow="-108" windowWidth="23256" windowHeight="12456" firstSheet="4" xr2:uid="{ED39F4C9-3346-410A-8CC9-52FA77E0D78E}"/>
  </bookViews>
  <sheets>
    <sheet name="Foglio1" sheetId="1" r:id="rId1"/>
    <sheet name="Per prodotto" sheetId="2" r:id="rId2"/>
    <sheet name="Per prodotto e fornitore" sheetId="3" r:id="rId3"/>
    <sheet name="Importo" sheetId="4" r:id="rId4"/>
    <sheet name="Importo e prodotto" sheetId="5" r:id="rId5"/>
  </sheets>
  <calcPr calcId="191028"/>
  <pivotCaches>
    <pivotCache cacheId="29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<sst xmlns="http://schemas.openxmlformats.org/spreadsheetml/2006/main" count="74" uniqueCount="35">
  <si>
    <t>Progetto: 26004 Appiano Gentile (Techbau)</t>
  </si>
  <si>
    <t>Data: 03/07/2026</t>
  </si>
  <si>
    <t>Ultimo aggiornamento: 03/07/2026 09:33</t>
  </si>
  <si>
    <t>RDA</t>
  </si>
  <si>
    <t>Data</t>
  </si>
  <si>
    <t>Cod</t>
  </si>
  <si>
    <t>Prodotto</t>
  </si>
  <si>
    <t>UM</t>
  </si>
  <si>
    <t>Colonna1</t>
  </si>
  <si>
    <t>PZ</t>
  </si>
  <si>
    <t>Quantità</t>
  </si>
  <si>
    <t>Prezzo</t>
  </si>
  <si>
    <t>Importo</t>
  </si>
  <si>
    <t>Fornitore</t>
  </si>
  <si>
    <t>Qt. Min. V.</t>
  </si>
  <si>
    <t>Note</t>
  </si>
  <si>
    <t>Mese</t>
  </si>
  <si>
    <t>SVS-26004-RDA-01-TV (BAUSTOFF)</t>
  </si>
  <si>
    <t>ATEN000165</t>
  </si>
  <si>
    <t>ATENA PROFILO GUIDA U MM 40/75/40 X 3000 - 6/10</t>
  </si>
  <si>
    <t>ML</t>
  </si>
  <si>
    <t>BAUSTOFF</t>
  </si>
  <si>
    <t>EDIL000002</t>
  </si>
  <si>
    <t>PARASPIGOLO 2004 FORATO IN LAMIERA ZINCATA MM 30X30X3000 - 5/10</t>
  </si>
  <si>
    <t>SVS-26004-RDA-76-TV (FF SYSTEM)</t>
  </si>
  <si>
    <t>AK600600G125</t>
  </si>
  <si>
    <t>BOTOLA F2 12,5X600x600 per parete / soffitto</t>
  </si>
  <si>
    <t>FF SYSTEMS</t>
  </si>
  <si>
    <t>Somma di Quantità</t>
  </si>
  <si>
    <t>Totale complessivo</t>
  </si>
  <si>
    <t>BAUSTOFF Totale</t>
  </si>
  <si>
    <t>FF SYSTEMS Totale</t>
  </si>
  <si>
    <t>Somma di Importo</t>
  </si>
  <si>
    <t>Etichette di colonna</t>
  </si>
  <si>
    <t>Etichette di riga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</si>
</sst>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14" fontId="1" fillId="3" borderId="0" xfId="0" applyNumberFormat="1" applyFont="1" applyFill="1"/>
    <xf numFmtId="8" fontId="1" fillId="3" borderId="0" xfId="0" applyNumberFormat="1" applyFont="1" applyFill="1"/>
    <xf numFmtId="17" fontId="1" fillId="3" borderId="0" xfId="0" applyNumberFormat="1" applyFont="1" applyFill="1"/>
    <xf numFmtId="0" fontId="1" fillId="4" borderId="0" xfId="0" applyFont="1" applyFill="1"/>
    <xf numFmtId="14" fontId="1" fillId="4" borderId="0" xfId="0" applyNumberFormat="1" applyFont="1" applyFill="1"/>
    <xf numFmtId="8" fontId="1" fillId="4" borderId="0" xfId="0" applyNumberFormat="1" applyFont="1" applyFill="1"/>
    <xf numFmtId="17" fontId="1" fillId="4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/>
  </cellXfs>
  <cellStyles count="1">
    <cellStyle name="Normale" xfId="0" builtinId="0"/>
  </cellStyles>
  <dxfs count="2"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6.487906249997" createdVersion="8" refreshedVersion="8" minRefreshableVersion="3" recordCount="3" xr:uid="{C588542F-5EC2-435F-B3F4-008FEE068B9A}">
  <cacheSource type="worksheet">
    <worksheetSource ref="A4:N7" sheet="Foglio1"/>
  </cacheSource>
  <cacheFields count="14">
    <cacheField name="RDA" numFmtId="0">
      <sharedItems/>
    </cacheField>
    <cacheField name="Data" numFmtId="14">
      <sharedItems containsSemiMixedTypes="0" containsNonDate="0" containsDate="1" containsString="0" minDate="2026-03-23T00:00:00" maxDate="2026-07-04T00:00:00" count="38">
        <d v="2026-03-23T00:00:00"/>
        <d v="2026-07-03T00:00:00"/>
        <d v="2026-04-15T00:00:00" u="1"/>
        <d v="2026-04-17T00:00:00" u="1"/>
        <d v="2026-06-29T00:00:00" u="1"/>
        <d v="2026-04-21T00:00:00" u="1"/>
        <d v="2026-04-22T00:00:00" u="1"/>
        <d v="2026-04-23T00:00:00" u="1"/>
        <d v="2026-04-24T00:00:00" u="1"/>
        <d v="2026-04-27T00:00:00" u="1"/>
        <d v="2026-04-28T00:00:00" u="1"/>
        <d v="2026-04-29T00:00:00" u="1"/>
        <d v="2026-05-05T00:00:00" u="1"/>
        <d v="2026-05-04T00:00:00" u="1"/>
        <d v="2026-05-06T00:00:00" u="1"/>
        <d v="2026-05-08T00:00:00" u="1"/>
        <d v="2026-05-11T00:00:00" u="1"/>
        <d v="2026-05-12T00:00:00" u="1"/>
        <d v="2026-05-14T00:00:00" u="1"/>
        <d v="2026-05-15T00:00:00" u="1"/>
        <d v="2026-05-19T00:00:00" u="1"/>
        <d v="2026-05-20T00:00:00" u="1"/>
        <d v="2026-05-25T00:00:00" u="1"/>
        <d v="2026-05-26T00:00:00" u="1"/>
        <d v="2026-05-27T00:00:00" u="1"/>
        <d v="2026-05-28T00:00:00" u="1"/>
        <d v="2026-06-01T00:00:00" u="1"/>
        <d v="2026-06-03T00:00:00" u="1"/>
        <d v="2026-06-22T00:00:00" u="1"/>
        <d v="2026-06-08T00:00:00" u="1"/>
        <d v="2026-06-09T00:00:00" u="1"/>
        <d v="2026-06-10T00:00:00" u="1"/>
        <d v="2026-06-12T00:00:00" u="1"/>
        <d v="2026-06-17T00:00:00" u="1"/>
        <d v="2026-06-18T00:00:00" u="1"/>
        <d v="2026-06-19T00:00:00" u="1"/>
        <d v="2026-06-30T00:00:00" u="1"/>
        <d v="2026-07-02T00:00:00" u="1"/>
      </sharedItems>
    </cacheField>
    <cacheField name="Cod" numFmtId="0">
      <sharedItems/>
    </cacheField>
    <cacheField name="Prodotto" numFmtId="0">
      <sharedItems count="171">
        <s v="ATENA PROFILO GUIDA U MM 40/75/40 X 3000 - 6/10"/>
        <s v="PARASPIGOLO 2004 FORATO IN LAMIERA ZINCATA MM 30X30X3000 - 5/10"/>
        <s v="BOTOLA F2 12,5X600x600 per parete / soffitto"/>
        <s v="GYPROC STUCCO IN POLVERE EVOPLUS 60 - SACCO KG 10" u="1"/>
        <s v="ITW ELEMATIC TASSELLO IN NYLON + VITE ZINCATA SVASATA PIANA PA 6 EB/VA 6X30 - CONFEZIONE PZ 100" u="1"/>
        <s v="KNAUF NASTRO GARZA IN RETE PER STUCCATURA - ROTOLO ML 90" u="1"/>
        <s v="KNAUF VITE V.R. PUNTA CHIODO MM 3,5X35 - CONFEZIONE PZ 1000" u="1"/>
        <s v="KNAUF VITE ZINCATA CON FINTA RONDELLA PUNTA PERFORANTE TEKS MM 4,2X12,7 - CONFEZIONE PZ 1000" u="1"/>
        <s v="ATENA PROFILO MONTANTE C MM 48/74/50 X 4000 - 6/10" u="1"/>
        <s v="ATENA PROFILO GUIDA U MM 28/27/28 X 3000 - 6/10" u="1"/>
        <s v="ATENA PROFILO MONTANTE S PLUS MM 27/49/27 X 3000 BORDO ARROTONDATO - 6/10" u="1"/>
        <s v="SINIAT LASTRA PREGYPLAC PLUS BA 13X1200X2000" u="1"/>
        <s v="B+M B-Flex X 35CT TEC Nastro di guarnizione monoadesivo Grigio - Rotolo mm 70x3000" u="1"/>
        <s v="Listello in legno di Abete mm 40x60x2000" u="1"/>
        <s v="Herbol Classic Malerweiss Idropittura murale lavabile interni" u="1"/>
        <s v="Bianco - Secchio LT 12,50" u="1"/>
        <s v="GUIDA U 40/50/40" u="1"/>
        <s v="GUIDA U40/75/40" u="1"/>
        <s v="MONTANTE C 50/73/47" u="1"/>
        <s v="VITE AUTOF.FOSF.NERA 3,5X25 JY" u="1"/>
        <s v="VITE AUTOF.FOSF.NERA 3,5X35 JY" u="1"/>
        <s v="VITE TEKS Z.BIAN.T.L.P.4.2x13" u="1"/>
        <s v="VITE AUTOF.FOSF.NERA 3,5X55 JY" u="1"/>
        <s v="TAS.ESP.C/COL. NYL @6 - 5X40" u="1"/>
        <s v="STAFFA REGOLABILE A L 3.5X12" u="1"/>
        <s v="SACCHI NERI RIFIUTI 90X120 50my pz10" u="1"/>
        <s v="NASTRO MONOADESIVO 70X20 ECON" u="1"/>
        <s v="VITE AUTOFILETTANTE FOSFATATA NERA PASSO LEGNO - TOP QUALITY - JY®" u="1"/>
        <s v="VITE TRUCIOLARE TSP TX 6X60" u="1"/>
        <s v="PREGYPLAC BA13 2000 MM" u="1"/>
        <s v="PREGYDRO H2 BA13 2000 MM" u="1"/>
        <s v="BUSTE TERMO RETRAIBILI 2000 MM" u="1"/>
        <s v="VITE TE DA LEGNO  8X80" u="1"/>
        <s v="STAFFA ALLUMINIO CON CLIP 80X220 SP.4MM" u="1"/>
        <s v="STAFFA ALLUMINIO CON CLIP 160X220 SP.4MM" u="1"/>
        <s v="STAFFA ALLUMINIO CON CLIP 80X100 SP.4MM" u="1"/>
        <s v="STAFFA ALLUMINIO CON CLIP 150X100 SP.4MM" u="1"/>
        <s v="THERMOSTOP 80X40X3 PER STAFFA LUNGHEZZA &lt; 150MM" u="1"/>
        <s v="THERMOSTOP 150X40X3 PER STAFFA LUNGHEZZA &lt; 150MM" u="1"/>
        <s v="THERMOSTOP 80X50X3" u="1"/>
        <s v="THERMOSTOP 160X50X3" u="1"/>
        <s v="PROFILO A T RAL9005 SP.2MM LUNGH.6000MM" u="1"/>
        <s v="PROFILO A L RAL9005 SP.2MM LUNGH.6000MM" u="1"/>
        <s v="TRASPORTO" u="1"/>
        <s v="ISOVER ACUSTIPAR 4+ SP. 70 0,6X10,00 PLT" u="1"/>
        <s v="ARENA34 SP 70 0,60 X 1,45" u="1"/>
        <s v="VITE TAPCON 5 XTREM HFL 6x60/45-25" u="1"/>
        <s v="PREGYFLAM BA15 2000 MM" u="1"/>
        <s v="PREGYFLAM BA13 2000 MM" u="1"/>
        <s v="AQUABOARD BA 13 2000 MM" u="1"/>
        <s v="VITIAQUABOARD 32 MM PUNTA CHIODO" u="1"/>
        <s v="LADURA PLUS BA 15 2000 MM" u="1"/>
        <s v="CHIODO SPIT HC6 17 500/1GAS" u="1"/>
        <s v="SOLO PROTEK 90X240 STRUTTURA 75" u="1"/>
        <s v="PANNELLO OSB sp 25 mm TAGLIATO A MISURA 30X57 CM" u="1"/>
        <s v="LISTELLO LEGNO 70X20 MM L.2000" u="1"/>
        <s v="Vite calcestruzzo  6x40 Testa esagonale" u="1"/>
        <s v="Piastra ad angolo  sp 3 mm larg 40 mm 60x80" u="1"/>
        <s v="Vite Autoperforante 6,3X25" u="1"/>
        <s v="PENDINO @ 4 L. 100 cm PIEGA C" u="1"/>
        <s v="PENDINO @ 4 L. 150 cm PIEGA C" u="1"/>
        <s v="GANCIO C/MOL PLUS 27/50 B.ARR SP 0,8 mm" u="1"/>
        <s v="CAVAL.C/FORO @6 P.27/50 B.ARR." u="1"/>
        <s v="GIUNTO LINEARE PROF.27/50/27 SP.0.4" u="1"/>
        <s v="VITE AUTOFILETTANTE ZINCATA RE-VERSO™ PER LASTRE AD ALTA DENSITA' PER ESTERNI ø 3,9 x 35 mm" u="1"/>
        <s v="GUIDA U 40/100/40" u="1"/>
        <s v="GUIDA U30/30/30" u="1"/>
        <s v="MONTANTE C 27/49/27" u="1"/>
        <s v="MONTANTE C 50/48/47" u="1"/>
        <s v="MONTANTE C 50/98/47" u="1"/>
        <s v="SINIAT LASTRA PREGYFLAM BA 15X1200X2000" u="1"/>
        <s v="SINIAT LASTRA PREGYFLAM BA 13X1200X2000" u="1"/>
        <s v="Smart Facade 32 PB sp 160 mm" u="1"/>
        <s v="RONDELLA-DIN125-A-140HVA2-D8,4" u="1"/>
        <s v="VITI AUTOFORAN.PIAS TE" u="1"/>
        <s v="INOX 4,8X 32" u="1"/>
        <s v="Tubolare in ferro grezzo 70*40*2" u="1"/>
        <s v="Equitone Natura pro 2530 x 1280 e/o 3130x 1280 sp. 8mm COLORE NU074" u="1"/>
        <s v="Lavorazioni sul pannello" u="1"/>
        <s v="Lavorazioni di taglio lineare + luko e foro non passante + sagomato" u="1"/>
        <s v="Tuf sfs 6x in A4 conf. da 250 pcs" u="1"/>
        <s v="Porta punta" u="1"/>
        <s v="Punta da 6,0x40.5 profondita 5,5 x 500" u="1"/>
        <s v="Barattolo di luko 0,5 ml" u="1"/>
        <s v="Set vaschetta più spatola" u="1"/>
        <s v="KNAUF VITE V.R. PUNTA CHIODO MM 3,5X45 - CONFEZIONE PZ 1000" u="1"/>
        <s v="TASSELLO PER CAPPOTTO IN NYLON M6 x 200 mm CON VITE CERT. EASIER™ &quot;WOOD&quot;" u="1"/>
        <s v="Capatect SockelFix Objekt - 25 kg" u="1"/>
        <s v="MW Dammplatte 034 Evolution sp 16 cm" u="1"/>
        <s v="MW Dammplatte 034 Evolution sp 8 cm" u="1"/>
        <s v="Capatect STR H -12 cm" u="1"/>
        <s v="Capatect STR H - 20 cm" u="1"/>
        <s v="Capatect VT 90 Ø 90 mm" u="1"/>
        <s v="Capatect-Gewebe 650" u="1"/>
        <s v="Capatect Haftmörtel FEIN - 25 kg" u="1"/>
        <s v="Capatect Klebe-und Armierungsmasse 186M - 25 kg" u="1"/>
        <s v="PS Dammplatte Dalmatiner 161 Light R sp 4 cm" u="1"/>
        <s v="Capatect Carbon-FIX - 9,5 cm" u="1"/>
        <s v="Capatect Gewebe Eckschutz 656/02 CARBON 2,5" u="1"/>
        <s v="Capatect Tropfkantenprofil 668/00 CARBON 2,5" u="1"/>
        <s v="Capatect-Sockelschienen Plus 6700/16" u="1"/>
        <s v="Capatect Sockelschienen 670/04" u="1"/>
        <s v="Capatect-Sockelschienen Plus 6700/8" u="1"/>
        <s v="ACP Vite Fosfatata Punta Perforante Teks KVP mm 3,5x55 - Confezione pz 250" u="1"/>
        <s v="Knauf Vite 221 Fosfatata Punta Perforante Teks mm 3,5x45 -" u="1"/>
        <s v="Confezione pz 1000" u="1"/>
        <s v="Protek Maxxi singolo per cartongesso 1600 (800+800)x2400 PF200" u="1"/>
        <s v="Kit trascinamento pannelli porta" u="1"/>
        <s v="Vite legno 6X60 TSP TX30 zinc. Bianca" u="1"/>
        <s v="Transpallet 2500kg doppio rullo" u="1"/>
        <s v="SINIAT LASTRA PREGYDRO H2 BA 13X1200X2000" u="1"/>
        <s v="VITE AUTOF.FOSF.NERA 3,5X45 JY" u="1"/>
        <s v="GUIDA U30/30/30 ZINCOALLUMINIO" u="1"/>
        <s v="GUIDA U40/75/40 ZINCOALLUMINIO" u="1"/>
        <s v="MONTANTE C 27/49/27 ZINCOALLUMIIO" u="1"/>
        <s v="MONTANTE C 50/73/47 ZINCOALLUMINIO" u="1"/>
        <s v="ITW VITE YUKO AA MM 3,5X35 - CONFEZIONE PZ 1000" u="1"/>
        <s v="ITW VITE YUKO AA MM 3,5X25 - CONFEZIONE PZ 1000" u="1"/>
        <s v="SINIAT PREGYAQUABOARD STUCCO IN PASTA - SECCHIO KG 25" u="1"/>
        <s v="SINIAT PREGYAQUABOARD NASTRO IN RETE PER APPLICAZIONE STUCCO - ROTOLO ML 90" u="1"/>
        <s v="SINIAT LASTRA PREGYAQUABOARD BA 13X1200X2000" u="1"/>
        <s v="Knauf gancio semplice distanziato per montante 50/27 MgZ" u="1"/>
        <s v="PROFILO A C+ RAL9005 LUNGH.3000MM" u="1"/>
        <s v="GANCIO C+" u="1"/>
        <s v="Siniat Vite PregyAquaboard mm 42 punta chiodo  confezione pz 1000" u="1"/>
        <s v="Itw Spit Chiodo C6-20 lunghezza mm 20 per Pulsa 800 - Confezione pz 500 + 1 bomboletta gas" u="1"/>
        <s v="RONDELLA LARGA-DIN125-A-140HVA2-D8,4" u="1"/>
        <s v="ANCORANTE M10x90" u="1"/>
        <s v="RONDELLA-DIN125-A-140HVA2-D10,5" u="1"/>
        <s v="SILICONE LAMIERA GRIGIO" u="1"/>
        <s v="Pressopiegato alluminio preverniciato 10/10 RAL7016 - Sagoma LAT.01" u="1"/>
        <s v="Pressopiegato alluminio preverniciato 10/10 RAL7016 - Sagoma LAT.02" u="1"/>
        <s v="Pressopiegato alluminio preverniciato 10/10 RAL7016 - Sagoma LAT.03" u="1"/>
        <s v="Pressopiegato alluminio grezzo 15/10 - Sagoma LAT.04" u="1"/>
        <s v="STAFFA REGOLABILE A L 3.5X12 SP.0.8" u="1"/>
        <s v="NASTRO RINFOR.IN F.VETRO 25 ml" u="1"/>
        <s v="NASTRO RINF.CARTA MICR.150 ml." u="1"/>
        <s v="COLTELLO BILAMA LUNGO PER FIBRE CON MANICO ERGONOMICO (LAMA 420 mm)" u="1"/>
        <s v="TASSELLO CAPPOTTO IN NYLON CON CHIODO IN ACCIAIO E TESTA IN NYLON EASIER™ STRONG &quot;CON PERNO IN ACCIAIO - I&quot; SP3 - ASSEMBLATO" u="1"/>
        <s v="ISOVER ARENA34 -NEW- PANNELLO LANA DI VETRO MM" u="1"/>
        <s v="70X600X1450 DENSITÀ 22 KG/MC" u="1"/>
        <s v="CONF. SPESSORI DA 2 MM - 1KG" u="1"/>
        <s v="CONF. SPESSORI DA 3 MM- 1KG" u="1"/>
        <s v="CONF. SPESSORI DA 4 MM- 1KG" u="1"/>
        <s v="ISOVER ACUSTIPAR 4+ SP. 45 0,6X15,00 PLT" u="1"/>
        <s v="PARASPIGOLO 4050 FORATO IN LAMIERA ZINCATA MM 30X30X3000 - 5/10 CON ANGOLO VARIABILE" u="1"/>
        <s v="SINIAT PREGYLYS STUCCO IN POLVERE P25 - SACCO KG 10" u="1"/>
        <s v="P25   KG 10" u="1"/>
        <s v="GYPROC LASTRA FLEX MM 6,0X1200X3000" u="1"/>
        <s v="Rivetto a strappo in alluminio 4*12 RAL7016" u="1"/>
        <s v="Putzgrund Color 25 Kg color - Price Group 1 (IR 100 - 60)" u="1"/>
        <s v="Capatect CarboPor K15 Color - Price Group 2 - IR 69/20" u="1"/>
        <s v="BOTOLA F2 12,5X500x500 per parete / soffitto" u="1"/>
        <s v="Disco Universale" u="1"/>
        <s v="Rondella DIN125 Inox A2 D5,3" u="1"/>
        <s v="VITI AUTOFORAN.PIAS TE 4,8x 25" u="1"/>
        <s v="CAVAL.C/FORO @6 27/47-48-49 SP.0.8" u="1"/>
        <s v="NASTRO RETE AUT. 90 MT  AXO" u="1"/>
        <s v="VITE AQUAFIRE STAR 4X41 mm cf 500 pz" u="1"/>
        <s v="Rondella 10x30 din 9021" u="1"/>
        <s v="PARABORDO 2018 IN LAMIERA ZINCATA MM 14X23X3000 - 5/10" u="1"/>
        <s v="VITI AUTOFORAN.PIAS TE 5,5x 38 punta lunga" u="1"/>
        <s v="Rondella DIN125 Inox A2 D6,4*24" u="1"/>
        <s v="BOTOLA F2 12,5X400x400 per parete / soffitto" u="1"/>
        <s v="ATENA PROFILO GUIDA U MM 28/27/28 X 3000 ALUZINK - 6/10" u="1"/>
        <s v="ATENA PROFILO MONTANTE S PLUS MM 27/49/27 X 3000 ALUZINK - 6/10" u="1"/>
        <s v="SINIAT VITE PREGYAQUABOARD MM 32 PUNTA CHIODO - CONFEZIONE PZ 1000" u="1"/>
        <s v="Atena Profilo Montante C mm 48/74/50 x 4500 sp.6/10" u="1"/>
        <s v="Atena Profilo Montante C mm 48/49/50 x 4500 sp. 6/10" u="1"/>
        <s v="PROFILO MONT ATENA S PLUS 15/49/15 X 3000 6/10" u="1"/>
        <s v="ATENA PROFILO GUIDA U 25/16/25 X 3000 6/10" u="1"/>
      </sharedItems>
    </cacheField>
    <cacheField name="UM" numFmtId="0">
      <sharedItems containsBlank="1" count="9">
        <s v="ML"/>
        <s v="PZ"/>
        <s v="NR" u="1"/>
        <s v="CF" u="1"/>
        <s v="MQ" u="1"/>
        <m u="1"/>
        <s v="CNF" u="1"/>
        <s v="KG" u="1"/>
        <s v="SAC" u="1"/>
      </sharedItems>
    </cacheField>
    <cacheField name="Colonna1" numFmtId="0">
      <sharedItems containsNonDate="0" containsString="0" containsBlank="1"/>
    </cacheField>
    <cacheField name="PZ" numFmtId="0">
      <sharedItems containsSemiMixedTypes="0" containsString="0" containsNumber="1" containsInteger="1" minValue="9" maxValue="14"/>
    </cacheField>
    <cacheField name="Quantità" numFmtId="0">
      <sharedItems containsSemiMixedTypes="0" containsString="0" containsNumber="1" containsInteger="1" minValue="14" maxValue="30"/>
    </cacheField>
    <cacheField name="Prezzo" numFmtId="8">
      <sharedItems containsSemiMixedTypes="0" containsString="0" containsNumber="1" minValue="0.47" maxValue="21.2"/>
    </cacheField>
    <cacheField name="Importo" numFmtId="8">
      <sharedItems containsSemiMixedTypes="0" containsString="0" containsNumber="1" minValue="14.14" maxValue="296.8"/>
    </cacheField>
    <cacheField name="Fornitore" numFmtId="0">
      <sharedItems containsBlank="1" count="20">
        <s v="BAUSTOFF"/>
        <s v="FF SYSTEMS"/>
        <m u="1"/>
        <s v="COGI" u="1"/>
        <s v="AKIFIX" u="1"/>
        <s v="MP FORNITURE" u="1"/>
        <s v="SINIAT" u="1"/>
        <s v="ETANCO" u="1"/>
        <s v="ISOVER" u="1"/>
        <s v="ITW" u="1"/>
        <s v="PROTEK" u="1"/>
        <s v="LAZZARONI LEGNAMI" u="1"/>
        <s v="KNAUF INSULATION" u="1"/>
        <s v="WUERTH" u="1"/>
        <s v="BALDO" u="1"/>
        <s v="EQUITONE" u="1"/>
        <s v="CAPAROL" u="1"/>
        <s v="BAUSTOFF METALL" u="1"/>
        <s v="LAMFER" u="1"/>
        <s v="EUROGIPS" u="1"/>
      </sharedItems>
    </cacheField>
    <cacheField name="Qt. Min. V." numFmtId="0">
      <sharedItems containsSemiMixedTypes="0" containsString="0" containsNumber="1" containsInteger="1" minValue="1" maxValue="3"/>
    </cacheField>
    <cacheField name="Note" numFmtId="0">
      <sharedItems containsNonDate="0" containsString="0" containsBlank="1"/>
    </cacheField>
    <cacheField name="Mese" numFmtId="17">
      <sharedItems containsSemiMixedTypes="0" containsNonDate="0" containsDate="1" containsString="0" minDate="2026-03-01T00:00:00" maxDate="2026-07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VS-26004-RDA-01-TV (BAUSTOFF)"/>
    <x v="0"/>
    <s v="ATEN000165"/>
    <x v="0"/>
    <x v="0"/>
    <m/>
    <n v="9"/>
    <n v="27"/>
    <n v="1"/>
    <n v="26.89"/>
    <x v="0"/>
    <n v="3"/>
    <m/>
    <d v="2026-03-01T00:00:00"/>
  </r>
  <r>
    <s v="SVS-26004-RDA-01-TV (BAUSTOFF)"/>
    <x v="0"/>
    <s v="EDIL000002"/>
    <x v="1"/>
    <x v="0"/>
    <m/>
    <n v="10"/>
    <n v="30"/>
    <n v="0.47"/>
    <n v="14.14"/>
    <x v="0"/>
    <n v="3"/>
    <m/>
    <d v="2026-03-01T00:00:00"/>
  </r>
  <r>
    <s v="SVS-26004-RDA-76-TV (FF SYSTEM)"/>
    <x v="1"/>
    <s v="AK600600G125"/>
    <x v="2"/>
    <x v="1"/>
    <m/>
    <n v="14"/>
    <n v="14"/>
    <n v="21.2"/>
    <n v="296.8"/>
    <x v="1"/>
    <n v="1"/>
    <m/>
    <d v="2026-07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A6E78-6318-4272-882F-682D7B63D36C}" name="Tabella pivot1" cacheId="29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B3:D7" firstHeaderRow="1" firstDataRow="1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71">
        <item m="1" x="140"/>
        <item m="1" x="103"/>
        <item m="1" x="127"/>
        <item m="1" x="49"/>
        <item m="1" x="45"/>
        <item m="1" x="170"/>
        <item m="1" x="9"/>
        <item m="1" x="164"/>
        <item x="0"/>
        <item m="1" x="168"/>
        <item m="1" x="8"/>
        <item m="1" x="167"/>
        <item m="1" x="165"/>
        <item m="1" x="10"/>
        <item m="1" x="12"/>
        <item m="1" x="83"/>
        <item m="1" x="15"/>
        <item m="1" x="163"/>
        <item m="1" x="152"/>
        <item x="2"/>
        <item m="1" x="31"/>
        <item m="1" x="97"/>
        <item m="1" x="151"/>
        <item m="1" x="98"/>
        <item m="1" x="94"/>
        <item m="1" x="95"/>
        <item m="1" x="87"/>
        <item m="1" x="101"/>
        <item m="1" x="91"/>
        <item m="1" x="90"/>
        <item m="1" x="99"/>
        <item m="1" x="92"/>
        <item m="1" x="93"/>
        <item m="1" x="100"/>
        <item m="1" x="102"/>
        <item m="1" x="156"/>
        <item m="1" x="62"/>
        <item m="1" x="52"/>
        <item m="1" x="137"/>
        <item m="1" x="141"/>
        <item m="1" x="142"/>
        <item m="1" x="143"/>
        <item m="1" x="105"/>
        <item m="1" x="153"/>
        <item m="1" x="77"/>
        <item m="1" x="61"/>
        <item m="1" x="123"/>
        <item m="1" x="63"/>
        <item m="1" x="65"/>
        <item m="1" x="16"/>
        <item m="1" x="66"/>
        <item m="1" x="112"/>
        <item m="1" x="17"/>
        <item m="1" x="113"/>
        <item m="1" x="148"/>
        <item m="1" x="3"/>
        <item m="1" x="14"/>
        <item m="1" x="75"/>
        <item m="1" x="144"/>
        <item m="1" x="44"/>
        <item m="1" x="139"/>
        <item m="1" x="4"/>
        <item m="1" x="125"/>
        <item m="1" x="117"/>
        <item m="1" x="116"/>
        <item m="1" x="107"/>
        <item m="1" x="121"/>
        <item m="1" x="5"/>
        <item m="1" x="104"/>
        <item m="1" x="6"/>
        <item m="1" x="85"/>
        <item m="1" x="7"/>
        <item m="1" x="51"/>
        <item m="1" x="79"/>
        <item m="1" x="78"/>
        <item m="1" x="13"/>
        <item m="1" x="55"/>
        <item m="1" x="67"/>
        <item m="1" x="114"/>
        <item m="1" x="68"/>
        <item m="1" x="18"/>
        <item m="1" x="115"/>
        <item m="1" x="69"/>
        <item m="1" x="88"/>
        <item m="1" x="89"/>
        <item m="1" x="26"/>
        <item m="1" x="157"/>
        <item m="1" x="136"/>
        <item m="1" x="135"/>
        <item m="1" x="147"/>
        <item m="1" x="54"/>
        <item m="1" x="160"/>
        <item x="1"/>
        <item m="1" x="145"/>
        <item m="1" x="59"/>
        <item m="1" x="60"/>
        <item m="1" x="57"/>
        <item m="1" x="81"/>
        <item m="1" x="30"/>
        <item m="1" x="48"/>
        <item m="1" x="47"/>
        <item m="1" x="29"/>
        <item m="1" x="133"/>
        <item m="1" x="130"/>
        <item m="1" x="131"/>
        <item m="1" x="132"/>
        <item m="1" x="122"/>
        <item m="1" x="42"/>
        <item m="1" x="41"/>
        <item m="1" x="169"/>
        <item m="1" x="106"/>
        <item m="1" x="96"/>
        <item m="1" x="82"/>
        <item m="1" x="150"/>
        <item m="1" x="149"/>
        <item m="1" x="159"/>
        <item m="1" x="154"/>
        <item m="1" x="162"/>
        <item m="1" x="126"/>
        <item m="1" x="128"/>
        <item m="1" x="73"/>
        <item m="1" x="25"/>
        <item m="1" x="84"/>
        <item m="1" x="129"/>
        <item m="1" x="120"/>
        <item m="1" x="110"/>
        <item m="1" x="71"/>
        <item m="1" x="70"/>
        <item m="1" x="11"/>
        <item m="1" x="119"/>
        <item m="1" x="118"/>
        <item m="1" x="146"/>
        <item m="1" x="166"/>
        <item m="1" x="124"/>
        <item m="1" x="72"/>
        <item m="1" x="53"/>
        <item m="1" x="36"/>
        <item m="1" x="34"/>
        <item m="1" x="35"/>
        <item m="1" x="33"/>
        <item m="1" x="24"/>
        <item m="1" x="134"/>
        <item m="1" x="23"/>
        <item m="1" x="138"/>
        <item m="1" x="86"/>
        <item m="1" x="38"/>
        <item m="1" x="40"/>
        <item m="1" x="37"/>
        <item m="1" x="39"/>
        <item m="1" x="109"/>
        <item m="1" x="43"/>
        <item m="1" x="76"/>
        <item m="1" x="80"/>
        <item m="1" x="158"/>
        <item m="1" x="19"/>
        <item m="1" x="20"/>
        <item m="1" x="111"/>
        <item m="1" x="22"/>
        <item m="1" x="27"/>
        <item m="1" x="64"/>
        <item m="1" x="58"/>
        <item m="1" x="56"/>
        <item m="1" x="108"/>
        <item m="1" x="46"/>
        <item m="1" x="32"/>
        <item m="1" x="21"/>
        <item m="1" x="28"/>
        <item m="1" x="74"/>
        <item m="1" x="155"/>
        <item m="1" x="161"/>
        <item m="1" x="50"/>
      </items>
    </pivotField>
    <pivotField axis="axisRow" compact="0" outline="0" showAll="0">
      <items count="10">
        <item m="1" x="3"/>
        <item m="1" x="6"/>
        <item m="1" x="7"/>
        <item x="0"/>
        <item m="1" x="4"/>
        <item m="1" x="2"/>
        <item x="1"/>
        <item m="1" x="8"/>
        <item m="1" x="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4">
    <i>
      <x v="8"/>
      <x v="3"/>
    </i>
    <i>
      <x v="19"/>
      <x v="6"/>
    </i>
    <i>
      <x v="92"/>
      <x v="3"/>
    </i>
    <i t="grand">
      <x/>
    </i>
  </rowItems>
  <colItems count="1">
    <i/>
  </colItems>
  <dataFields count="1">
    <dataField name="Somma di Quantità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7AA16-1D23-4832-945B-0B3CD109CD21}" name="Tabella pivot1" cacheId="29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B3:E9" firstHeaderRow="1" firstDataRow="1" firstDataCol="3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71">
        <item m="1" x="140"/>
        <item m="1" x="103"/>
        <item m="1" x="127"/>
        <item m="1" x="49"/>
        <item m="1" x="45"/>
        <item m="1" x="170"/>
        <item m="1" x="9"/>
        <item m="1" x="164"/>
        <item x="0"/>
        <item m="1" x="168"/>
        <item m="1" x="8"/>
        <item m="1" x="167"/>
        <item m="1" x="165"/>
        <item m="1" x="10"/>
        <item m="1" x="12"/>
        <item m="1" x="83"/>
        <item m="1" x="15"/>
        <item m="1" x="163"/>
        <item m="1" x="152"/>
        <item x="2"/>
        <item m="1" x="31"/>
        <item m="1" x="97"/>
        <item m="1" x="151"/>
        <item m="1" x="98"/>
        <item m="1" x="94"/>
        <item m="1" x="95"/>
        <item m="1" x="87"/>
        <item m="1" x="101"/>
        <item m="1" x="91"/>
        <item m="1" x="90"/>
        <item m="1" x="99"/>
        <item m="1" x="92"/>
        <item m="1" x="93"/>
        <item m="1" x="100"/>
        <item m="1" x="102"/>
        <item m="1" x="156"/>
        <item m="1" x="62"/>
        <item m="1" x="52"/>
        <item m="1" x="137"/>
        <item m="1" x="141"/>
        <item m="1" x="142"/>
        <item m="1" x="143"/>
        <item m="1" x="105"/>
        <item m="1" x="153"/>
        <item m="1" x="77"/>
        <item m="1" x="61"/>
        <item m="1" x="123"/>
        <item m="1" x="63"/>
        <item m="1" x="65"/>
        <item m="1" x="16"/>
        <item m="1" x="66"/>
        <item m="1" x="112"/>
        <item m="1" x="17"/>
        <item m="1" x="113"/>
        <item m="1" x="148"/>
        <item m="1" x="3"/>
        <item m="1" x="14"/>
        <item m="1" x="75"/>
        <item m="1" x="144"/>
        <item m="1" x="44"/>
        <item m="1" x="139"/>
        <item m="1" x="4"/>
        <item m="1" x="125"/>
        <item m="1" x="117"/>
        <item m="1" x="116"/>
        <item m="1" x="107"/>
        <item m="1" x="121"/>
        <item m="1" x="5"/>
        <item m="1" x="104"/>
        <item m="1" x="6"/>
        <item m="1" x="85"/>
        <item m="1" x="7"/>
        <item m="1" x="51"/>
        <item m="1" x="79"/>
        <item m="1" x="78"/>
        <item m="1" x="13"/>
        <item m="1" x="55"/>
        <item m="1" x="67"/>
        <item m="1" x="114"/>
        <item m="1" x="68"/>
        <item m="1" x="18"/>
        <item m="1" x="115"/>
        <item m="1" x="69"/>
        <item m="1" x="88"/>
        <item m="1" x="89"/>
        <item m="1" x="26"/>
        <item m="1" x="157"/>
        <item m="1" x="136"/>
        <item m="1" x="135"/>
        <item m="1" x="147"/>
        <item m="1" x="54"/>
        <item m="1" x="160"/>
        <item x="1"/>
        <item m="1" x="145"/>
        <item m="1" x="59"/>
        <item m="1" x="60"/>
        <item m="1" x="57"/>
        <item m="1" x="81"/>
        <item m="1" x="30"/>
        <item m="1" x="48"/>
        <item m="1" x="47"/>
        <item m="1" x="29"/>
        <item m="1" x="133"/>
        <item m="1" x="130"/>
        <item m="1" x="131"/>
        <item m="1" x="132"/>
        <item m="1" x="122"/>
        <item m="1" x="42"/>
        <item m="1" x="41"/>
        <item m="1" x="169"/>
        <item m="1" x="106"/>
        <item m="1" x="96"/>
        <item m="1" x="82"/>
        <item m="1" x="150"/>
        <item m="1" x="149"/>
        <item m="1" x="159"/>
        <item m="1" x="154"/>
        <item m="1" x="162"/>
        <item m="1" x="126"/>
        <item m="1" x="128"/>
        <item m="1" x="73"/>
        <item m="1" x="25"/>
        <item m="1" x="84"/>
        <item m="1" x="129"/>
        <item m="1" x="120"/>
        <item m="1" x="110"/>
        <item m="1" x="71"/>
        <item m="1" x="70"/>
        <item m="1" x="11"/>
        <item m="1" x="119"/>
        <item m="1" x="118"/>
        <item m="1" x="146"/>
        <item m="1" x="166"/>
        <item m="1" x="124"/>
        <item m="1" x="72"/>
        <item m="1" x="53"/>
        <item m="1" x="36"/>
        <item m="1" x="34"/>
        <item m="1" x="35"/>
        <item m="1" x="33"/>
        <item m="1" x="24"/>
        <item m="1" x="134"/>
        <item m="1" x="23"/>
        <item m="1" x="138"/>
        <item m="1" x="86"/>
        <item m="1" x="38"/>
        <item m="1" x="40"/>
        <item m="1" x="37"/>
        <item m="1" x="39"/>
        <item m="1" x="109"/>
        <item m="1" x="43"/>
        <item m="1" x="76"/>
        <item m="1" x="80"/>
        <item m="1" x="158"/>
        <item m="1" x="19"/>
        <item m="1" x="20"/>
        <item m="1" x="111"/>
        <item m="1" x="22"/>
        <item m="1" x="27"/>
        <item m="1" x="64"/>
        <item m="1" x="58"/>
        <item m="1" x="56"/>
        <item m="1" x="108"/>
        <item m="1" x="46"/>
        <item m="1" x="32"/>
        <item m="1" x="21"/>
        <item m="1" x="28"/>
        <item m="1" x="74"/>
        <item m="1" x="155"/>
        <item m="1" x="161"/>
        <item m="1" x="50"/>
      </items>
    </pivotField>
    <pivotField axis="axisRow" compact="0" outline="0" showAll="0">
      <items count="10">
        <item m="1" x="3"/>
        <item m="1" x="6"/>
        <item m="1" x="7"/>
        <item x="0"/>
        <item m="1" x="4"/>
        <item m="1" x="2"/>
        <item x="1"/>
        <item m="1" x="8"/>
        <item m="1" x="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21">
        <item m="1" x="4"/>
        <item m="1" x="14"/>
        <item x="0"/>
        <item m="1" x="17"/>
        <item m="1" x="16"/>
        <item m="1" x="3"/>
        <item m="1" x="15"/>
        <item m="1" x="7"/>
        <item m="1" x="19"/>
        <item x="1"/>
        <item m="1" x="8"/>
        <item m="1" x="9"/>
        <item m="1" x="12"/>
        <item m="1" x="18"/>
        <item m="1" x="11"/>
        <item m="1" x="5"/>
        <item m="1" x="10"/>
        <item m="1" x="6"/>
        <item m="1" x="13"/>
        <item m="1" x="2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10"/>
    <field x="3"/>
    <field x="4"/>
  </rowFields>
  <rowItems count="6">
    <i>
      <x v="2"/>
      <x v="8"/>
      <x v="3"/>
    </i>
    <i r="1">
      <x v="92"/>
      <x v="3"/>
    </i>
    <i t="default">
      <x v="2"/>
    </i>
    <i>
      <x v="9"/>
      <x v="19"/>
      <x v="6"/>
    </i>
    <i t="default">
      <x v="9"/>
    </i>
    <i t="grand">
      <x/>
    </i>
  </rowItems>
  <colItems count="1">
    <i/>
  </colItems>
  <dataFields count="1">
    <dataField name="Somma di Quantità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F4D3A-BEBE-479A-894D-0DEB0E31A18E}" name="Tabella pivot2" cacheId="29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3:E7" firstHeaderRow="1" firstDataRow="2" firstDataCol="1"/>
  <pivotFields count="14">
    <pivotField showAll="0"/>
    <pivotField axis="axisCol" showAll="0">
      <items count="39">
        <item x="0"/>
        <item m="1" x="2"/>
        <item m="1" x="3"/>
        <item m="1" x="5"/>
        <item m="1" x="6"/>
        <item m="1" x="7"/>
        <item m="1" x="8"/>
        <item m="1" x="9"/>
        <item m="1" x="10"/>
        <item m="1" x="11"/>
        <item m="1" x="13"/>
        <item m="1" x="1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9"/>
        <item m="1" x="30"/>
        <item m="1" x="31"/>
        <item m="1" x="32"/>
        <item m="1" x="33"/>
        <item m="1" x="34"/>
        <item m="1" x="35"/>
        <item m="1" x="28"/>
        <item m="1" x="4"/>
        <item m="1" x="36"/>
        <item m="1" x="3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1">
        <item m="1" x="4"/>
        <item m="1" x="14"/>
        <item x="0"/>
        <item m="1" x="17"/>
        <item m="1" x="16"/>
        <item m="1" x="3"/>
        <item m="1" x="15"/>
        <item m="1" x="7"/>
        <item m="1" x="19"/>
        <item x="1"/>
        <item m="1" x="8"/>
        <item m="1" x="9"/>
        <item m="1" x="12"/>
        <item m="1" x="18"/>
        <item m="1" x="11"/>
        <item m="1" x="5"/>
        <item m="1" x="10"/>
        <item m="1" x="6"/>
        <item m="1" x="13"/>
        <item m="1" x="2"/>
        <item t="default"/>
      </items>
    </pivotField>
    <pivotField showAll="0"/>
    <pivotField showAll="0"/>
    <pivotField showAll="0"/>
  </pivotFields>
  <rowFields count="1">
    <field x="10"/>
  </rowFields>
  <rowItems count="3">
    <i>
      <x v="2"/>
    </i>
    <i>
      <x v="9"/>
    </i>
    <i t="grand">
      <x/>
    </i>
  </rowItems>
  <colFields count="1">
    <field x="1"/>
  </colFields>
  <colItems count="3">
    <i>
      <x/>
    </i>
    <i>
      <x v="37"/>
    </i>
    <i t="grand">
      <x/>
    </i>
  </colItems>
  <dataFields count="1">
    <dataField name="Somma di Importo" fld="9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B8024-88E8-400F-94F5-61E602DF0B4E}" name="Tabella pivot2" cacheId="29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3:E10" firstHeaderRow="1" firstDataRow="2" firstDataCol="1"/>
  <pivotFields count="14">
    <pivotField showAll="0"/>
    <pivotField axis="axisCol" showAll="0">
      <items count="39">
        <item x="0"/>
        <item m="1" x="2"/>
        <item m="1" x="3"/>
        <item m="1" x="5"/>
        <item m="1" x="6"/>
        <item m="1" x="7"/>
        <item m="1" x="8"/>
        <item m="1" x="9"/>
        <item m="1" x="10"/>
        <item m="1" x="11"/>
        <item m="1" x="13"/>
        <item m="1" x="1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9"/>
        <item m="1" x="30"/>
        <item m="1" x="31"/>
        <item m="1" x="32"/>
        <item m="1" x="33"/>
        <item m="1" x="34"/>
        <item m="1" x="35"/>
        <item m="1" x="28"/>
        <item m="1" x="4"/>
        <item m="1" x="36"/>
        <item m="1" x="37"/>
        <item x="1"/>
        <item t="default"/>
      </items>
    </pivotField>
    <pivotField showAll="0"/>
    <pivotField axis="axisRow" showAll="0">
      <items count="172">
        <item m="1" x="140"/>
        <item m="1" x="103"/>
        <item m="1" x="127"/>
        <item m="1" x="49"/>
        <item m="1" x="45"/>
        <item m="1" x="170"/>
        <item m="1" x="9"/>
        <item m="1" x="164"/>
        <item x="0"/>
        <item m="1" x="168"/>
        <item m="1" x="8"/>
        <item m="1" x="167"/>
        <item m="1" x="165"/>
        <item m="1" x="10"/>
        <item m="1" x="12"/>
        <item m="1" x="83"/>
        <item m="1" x="15"/>
        <item m="1" x="163"/>
        <item m="1" x="152"/>
        <item x="2"/>
        <item m="1" x="31"/>
        <item m="1" x="97"/>
        <item m="1" x="151"/>
        <item m="1" x="98"/>
        <item m="1" x="94"/>
        <item m="1" x="95"/>
        <item m="1" x="87"/>
        <item m="1" x="101"/>
        <item m="1" x="91"/>
        <item m="1" x="90"/>
        <item m="1" x="99"/>
        <item m="1" x="92"/>
        <item m="1" x="93"/>
        <item m="1" x="100"/>
        <item m="1" x="102"/>
        <item m="1" x="156"/>
        <item m="1" x="62"/>
        <item m="1" x="52"/>
        <item m="1" x="137"/>
        <item m="1" x="141"/>
        <item m="1" x="142"/>
        <item m="1" x="143"/>
        <item m="1" x="105"/>
        <item m="1" x="153"/>
        <item m="1" x="77"/>
        <item m="1" x="61"/>
        <item m="1" x="123"/>
        <item m="1" x="63"/>
        <item m="1" x="65"/>
        <item m="1" x="16"/>
        <item m="1" x="66"/>
        <item m="1" x="112"/>
        <item m="1" x="17"/>
        <item m="1" x="113"/>
        <item m="1" x="148"/>
        <item m="1" x="3"/>
        <item m="1" x="14"/>
        <item m="1" x="75"/>
        <item m="1" x="144"/>
        <item m="1" x="44"/>
        <item m="1" x="139"/>
        <item m="1" x="4"/>
        <item m="1" x="125"/>
        <item m="1" x="117"/>
        <item m="1" x="116"/>
        <item m="1" x="107"/>
        <item m="1" x="121"/>
        <item m="1" x="5"/>
        <item m="1" x="104"/>
        <item m="1" x="6"/>
        <item m="1" x="85"/>
        <item m="1" x="7"/>
        <item m="1" x="51"/>
        <item m="1" x="79"/>
        <item m="1" x="78"/>
        <item m="1" x="13"/>
        <item m="1" x="55"/>
        <item m="1" x="67"/>
        <item m="1" x="114"/>
        <item m="1" x="68"/>
        <item m="1" x="18"/>
        <item m="1" x="115"/>
        <item m="1" x="69"/>
        <item m="1" x="88"/>
        <item m="1" x="89"/>
        <item m="1" x="26"/>
        <item m="1" x="157"/>
        <item m="1" x="136"/>
        <item m="1" x="135"/>
        <item m="1" x="147"/>
        <item m="1" x="54"/>
        <item m="1" x="160"/>
        <item x="1"/>
        <item m="1" x="145"/>
        <item m="1" x="59"/>
        <item m="1" x="60"/>
        <item m="1" x="57"/>
        <item m="1" x="81"/>
        <item m="1" x="30"/>
        <item m="1" x="48"/>
        <item m="1" x="47"/>
        <item m="1" x="29"/>
        <item m="1" x="133"/>
        <item m="1" x="130"/>
        <item m="1" x="131"/>
        <item m="1" x="132"/>
        <item m="1" x="122"/>
        <item m="1" x="42"/>
        <item m="1" x="41"/>
        <item m="1" x="169"/>
        <item m="1" x="106"/>
        <item m="1" x="96"/>
        <item m="1" x="82"/>
        <item m="1" x="150"/>
        <item m="1" x="149"/>
        <item m="1" x="159"/>
        <item m="1" x="154"/>
        <item m="1" x="162"/>
        <item m="1" x="126"/>
        <item m="1" x="128"/>
        <item m="1" x="73"/>
        <item m="1" x="25"/>
        <item m="1" x="84"/>
        <item m="1" x="129"/>
        <item m="1" x="120"/>
        <item m="1" x="110"/>
        <item m="1" x="71"/>
        <item m="1" x="70"/>
        <item m="1" x="11"/>
        <item m="1" x="119"/>
        <item m="1" x="118"/>
        <item m="1" x="146"/>
        <item m="1" x="166"/>
        <item m="1" x="124"/>
        <item m="1" x="72"/>
        <item m="1" x="53"/>
        <item m="1" x="36"/>
        <item m="1" x="34"/>
        <item m="1" x="35"/>
        <item m="1" x="33"/>
        <item m="1" x="24"/>
        <item m="1" x="134"/>
        <item m="1" x="23"/>
        <item m="1" x="138"/>
        <item m="1" x="86"/>
        <item m="1" x="38"/>
        <item m="1" x="40"/>
        <item m="1" x="37"/>
        <item m="1" x="39"/>
        <item m="1" x="109"/>
        <item m="1" x="43"/>
        <item m="1" x="76"/>
        <item m="1" x="80"/>
        <item m="1" x="158"/>
        <item m="1" x="19"/>
        <item m="1" x="20"/>
        <item m="1" x="111"/>
        <item m="1" x="22"/>
        <item m="1" x="27"/>
        <item m="1" x="64"/>
        <item m="1" x="58"/>
        <item m="1" x="56"/>
        <item m="1" x="108"/>
        <item m="1" x="46"/>
        <item m="1" x="32"/>
        <item m="1" x="21"/>
        <item m="1" x="28"/>
        <item m="1" x="74"/>
        <item m="1" x="155"/>
        <item m="1" x="161"/>
        <item m="1" x="50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21">
        <item m="1" x="4"/>
        <item m="1" x="14"/>
        <item x="0"/>
        <item m="1" x="17"/>
        <item m="1" x="16"/>
        <item m="1" x="3"/>
        <item m="1" x="15"/>
        <item m="1" x="7"/>
        <item m="1" x="19"/>
        <item x="1"/>
        <item m="1" x="8"/>
        <item m="1" x="9"/>
        <item m="1" x="12"/>
        <item m="1" x="18"/>
        <item m="1" x="11"/>
        <item m="1" x="5"/>
        <item m="1" x="10"/>
        <item m="1" x="6"/>
        <item m="1" x="13"/>
        <item m="1" x="2"/>
        <item t="default"/>
      </items>
    </pivotField>
    <pivotField showAll="0"/>
    <pivotField showAll="0"/>
    <pivotField showAll="0"/>
  </pivotFields>
  <rowFields count="2">
    <field x="10"/>
    <field x="3"/>
  </rowFields>
  <rowItems count="6">
    <i>
      <x v="2"/>
    </i>
    <i r="1">
      <x v="8"/>
    </i>
    <i r="1">
      <x v="92"/>
    </i>
    <i>
      <x v="9"/>
    </i>
    <i r="1">
      <x v="19"/>
    </i>
    <i t="grand">
      <x/>
    </i>
  </rowItems>
  <colFields count="1">
    <field x="1"/>
  </colFields>
  <colItems count="3">
    <i>
      <x/>
    </i>
    <i>
      <x v="37"/>
    </i>
    <i t="grand">
      <x/>
    </i>
  </colItems>
  <dataFields count="1">
    <dataField name="Somma di Importo" fld="9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EB55-D875-461F-845C-D4B7C82E33F9}">
  <dimension ref="A1:N284"/>
  <sheetViews>
    <sheetView tabSelected="1" workbookViewId="0">
      <selection activeCell="H11" sqref="B11:H12"/>
    </sheetView>
  </sheetViews>
  <sheetFormatPr defaultRowHeight="14.45"/>
  <cols>
    <col min="1" max="1" width="47.42578125" bestFit="1" customWidth="1"/>
    <col min="2" max="2" width="10.5703125" bestFit="1" customWidth="1"/>
    <col min="3" max="3" width="23.5703125" bestFit="1" customWidth="1"/>
    <col min="4" max="4" width="121.28515625" bestFit="1" customWidth="1"/>
    <col min="5" max="5" width="4.28515625" bestFit="1" customWidth="1"/>
    <col min="6" max="6" width="9" bestFit="1" customWidth="1"/>
    <col min="7" max="7" width="5.5703125" bestFit="1" customWidth="1"/>
    <col min="8" max="8" width="8.28515625" bestFit="1" customWidth="1"/>
    <col min="9" max="9" width="7.85546875" bestFit="1" customWidth="1"/>
    <col min="10" max="10" width="10.42578125" bestFit="1" customWidth="1"/>
    <col min="11" max="11" width="18.7109375" bestFit="1" customWidth="1"/>
    <col min="12" max="12" width="10.140625" bestFit="1" customWidth="1"/>
    <col min="13" max="13" width="24.28515625" bestFit="1" customWidth="1"/>
    <col min="14" max="14" width="7.140625" bestFit="1" customWidth="1"/>
  </cols>
  <sheetData>
    <row r="1" spans="1:14">
      <c r="A1" s="1" t="s">
        <v>0</v>
      </c>
      <c r="B1" s="1"/>
      <c r="C1" s="1"/>
      <c r="D1" s="1"/>
      <c r="E1" s="17"/>
      <c r="F1" s="17"/>
      <c r="G1" s="17"/>
      <c r="H1" s="17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7"/>
      <c r="F2" s="17"/>
      <c r="G2" s="17"/>
      <c r="H2" s="17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7"/>
      <c r="F3" s="17"/>
      <c r="G3" s="17"/>
      <c r="H3" s="17"/>
      <c r="I3" s="1"/>
      <c r="J3" s="1"/>
      <c r="K3" s="1"/>
      <c r="L3" s="1"/>
      <c r="M3" s="1"/>
      <c r="N3" s="1"/>
    </row>
    <row r="4" spans="1:1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spans="1:14">
      <c r="A5" s="3" t="s">
        <v>17</v>
      </c>
      <c r="B5" s="4">
        <v>46104</v>
      </c>
      <c r="C5" s="3" t="s">
        <v>18</v>
      </c>
      <c r="D5" s="3" t="s">
        <v>19</v>
      </c>
      <c r="E5" s="3" t="s">
        <v>20</v>
      </c>
      <c r="F5" s="3"/>
      <c r="G5" s="3">
        <v>9</v>
      </c>
      <c r="H5" s="3">
        <v>27</v>
      </c>
      <c r="I5" s="5">
        <v>1</v>
      </c>
      <c r="J5" s="5">
        <v>26.89</v>
      </c>
      <c r="K5" s="3" t="s">
        <v>21</v>
      </c>
      <c r="L5" s="3">
        <v>3</v>
      </c>
      <c r="M5" s="3"/>
      <c r="N5" s="6">
        <v>46082</v>
      </c>
    </row>
    <row r="6" spans="1:14">
      <c r="A6" s="7" t="s">
        <v>17</v>
      </c>
      <c r="B6" s="8">
        <v>46104</v>
      </c>
      <c r="C6" s="7" t="s">
        <v>22</v>
      </c>
      <c r="D6" s="7" t="s">
        <v>23</v>
      </c>
      <c r="E6" s="7" t="s">
        <v>20</v>
      </c>
      <c r="F6" s="7"/>
      <c r="G6" s="7">
        <v>10</v>
      </c>
      <c r="H6" s="7">
        <v>30</v>
      </c>
      <c r="I6" s="9">
        <v>0.47</v>
      </c>
      <c r="J6" s="9">
        <v>14.14</v>
      </c>
      <c r="K6" s="7" t="s">
        <v>21</v>
      </c>
      <c r="L6" s="7">
        <v>3</v>
      </c>
      <c r="M6" s="7"/>
      <c r="N6" s="10">
        <v>46082</v>
      </c>
    </row>
    <row r="7" spans="1:14">
      <c r="A7" s="3" t="s">
        <v>24</v>
      </c>
      <c r="B7" s="4">
        <v>46206</v>
      </c>
      <c r="C7" s="3" t="s">
        <v>25</v>
      </c>
      <c r="D7" s="3" t="s">
        <v>26</v>
      </c>
      <c r="E7" s="3" t="s">
        <v>9</v>
      </c>
      <c r="F7" s="3"/>
      <c r="G7" s="3">
        <v>14</v>
      </c>
      <c r="H7" s="3">
        <v>14</v>
      </c>
      <c r="I7" s="5">
        <v>21.2</v>
      </c>
      <c r="J7" s="5">
        <v>296.8</v>
      </c>
      <c r="K7" s="3" t="s">
        <v>27</v>
      </c>
      <c r="L7" s="3">
        <v>1</v>
      </c>
      <c r="M7" s="3"/>
      <c r="N7" s="6">
        <v>46204</v>
      </c>
    </row>
    <row r="8" spans="1:14" ht="15"/>
    <row r="9" spans="1:14" ht="15"/>
    <row r="10" spans="1:14" ht="15"/>
    <row r="11" spans="1:14" ht="15"/>
    <row r="12" spans="1:14" ht="15"/>
    <row r="13" spans="1:14" ht="15"/>
    <row r="14" spans="1:14" ht="15"/>
    <row r="15" spans="1:14" ht="15"/>
    <row r="16" spans="1:14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</sheetData>
  <mergeCells count="6">
    <mergeCell ref="E1:F1"/>
    <mergeCell ref="G1:H1"/>
    <mergeCell ref="E2:F2"/>
    <mergeCell ref="G2:H2"/>
    <mergeCell ref="E3:F3"/>
    <mergeCell ref="G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B201-826F-47CE-866B-D1AFF9CAFB0C}">
  <dimension ref="B3:D7"/>
  <sheetViews>
    <sheetView workbookViewId="0">
      <selection activeCell="B17" sqref="B17"/>
    </sheetView>
  </sheetViews>
  <sheetFormatPr defaultRowHeight="14.45"/>
  <cols>
    <col min="2" max="2" width="74.42578125" customWidth="1"/>
    <col min="3" max="3" width="7.140625" bestFit="1" customWidth="1"/>
    <col min="4" max="4" width="18.42578125" bestFit="1" customWidth="1"/>
    <col min="5" max="42" width="13.85546875" bestFit="1" customWidth="1"/>
    <col min="43" max="43" width="17.28515625" bestFit="1" customWidth="1"/>
  </cols>
  <sheetData>
    <row r="3" spans="2:4">
      <c r="B3" s="11" t="s">
        <v>6</v>
      </c>
      <c r="C3" s="11" t="s">
        <v>7</v>
      </c>
      <c r="D3" t="s">
        <v>28</v>
      </c>
    </row>
    <row r="4" spans="2:4">
      <c r="B4" t="s">
        <v>19</v>
      </c>
      <c r="C4" t="s">
        <v>20</v>
      </c>
      <c r="D4" s="15">
        <v>27</v>
      </c>
    </row>
    <row r="5" spans="2:4">
      <c r="B5" t="s">
        <v>26</v>
      </c>
      <c r="C5" t="s">
        <v>9</v>
      </c>
      <c r="D5" s="15">
        <v>14</v>
      </c>
    </row>
    <row r="6" spans="2:4">
      <c r="B6" t="s">
        <v>23</v>
      </c>
      <c r="C6" t="s">
        <v>20</v>
      </c>
      <c r="D6" s="15">
        <v>30</v>
      </c>
    </row>
    <row r="7" spans="2:4">
      <c r="B7" t="s">
        <v>29</v>
      </c>
      <c r="D7" s="15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6E36-9C8A-4059-83BA-333A2AA1D3E3}">
  <dimension ref="B3:E9"/>
  <sheetViews>
    <sheetView workbookViewId="0">
      <selection activeCell="C3" sqref="C3"/>
    </sheetView>
  </sheetViews>
  <sheetFormatPr defaultRowHeight="14.45"/>
  <cols>
    <col min="2" max="2" width="11.7109375" customWidth="1"/>
    <col min="3" max="3" width="122.28515625" bestFit="1" customWidth="1"/>
    <col min="4" max="4" width="7.140625" bestFit="1" customWidth="1"/>
    <col min="5" max="5" width="18.42578125" bestFit="1" customWidth="1"/>
    <col min="6" max="42" width="13.85546875" bestFit="1" customWidth="1"/>
    <col min="43" max="43" width="17.28515625" bestFit="1" customWidth="1"/>
  </cols>
  <sheetData>
    <row r="3" spans="2:5">
      <c r="B3" s="11" t="s">
        <v>13</v>
      </c>
      <c r="C3" s="11" t="s">
        <v>6</v>
      </c>
      <c r="D3" s="11" t="s">
        <v>7</v>
      </c>
      <c r="E3" t="s">
        <v>28</v>
      </c>
    </row>
    <row r="4" spans="2:5">
      <c r="B4" t="s">
        <v>21</v>
      </c>
      <c r="C4" t="s">
        <v>19</v>
      </c>
      <c r="D4" t="s">
        <v>20</v>
      </c>
      <c r="E4" s="15">
        <v>27</v>
      </c>
    </row>
    <row r="5" spans="2:5">
      <c r="C5" t="s">
        <v>23</v>
      </c>
      <c r="D5" t="s">
        <v>20</v>
      </c>
      <c r="E5" s="15">
        <v>30</v>
      </c>
    </row>
    <row r="6" spans="2:5">
      <c r="B6" t="s">
        <v>30</v>
      </c>
      <c r="E6" s="15">
        <v>57</v>
      </c>
    </row>
    <row r="7" spans="2:5">
      <c r="B7" t="s">
        <v>27</v>
      </c>
      <c r="C7" t="s">
        <v>26</v>
      </c>
      <c r="D7" t="s">
        <v>9</v>
      </c>
      <c r="E7" s="15">
        <v>14</v>
      </c>
    </row>
    <row r="8" spans="2:5">
      <c r="B8" t="s">
        <v>31</v>
      </c>
      <c r="E8" s="15">
        <v>14</v>
      </c>
    </row>
    <row r="9" spans="2:5">
      <c r="B9" t="s">
        <v>29</v>
      </c>
      <c r="E9" s="15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3685-8DB3-4352-92EC-99C3962058FA}">
  <dimension ref="B3:E7"/>
  <sheetViews>
    <sheetView topLeftCell="A4" workbookViewId="0">
      <selection activeCell="K12" sqref="K12"/>
    </sheetView>
  </sheetViews>
  <sheetFormatPr defaultRowHeight="14.45"/>
  <cols>
    <col min="2" max="2" width="18.5703125" bestFit="1" customWidth="1"/>
    <col min="3" max="3" width="22.28515625" bestFit="1" customWidth="1"/>
    <col min="4" max="4" width="11.28515625" bestFit="1" customWidth="1"/>
    <col min="5" max="5" width="18.5703125" bestFit="1" customWidth="1"/>
    <col min="6" max="7" width="10.42578125" bestFit="1" customWidth="1"/>
    <col min="8" max="8" width="9.42578125" bestFit="1" customWidth="1"/>
    <col min="9" max="9" width="17.28515625" bestFit="1" customWidth="1"/>
    <col min="10" max="40" width="10.28515625" bestFit="1" customWidth="1"/>
    <col min="41" max="41" width="6.85546875" bestFit="1" customWidth="1"/>
    <col min="42" max="42" width="17.28515625" bestFit="1" customWidth="1"/>
  </cols>
  <sheetData>
    <row r="3" spans="2:5">
      <c r="B3" s="11" t="s">
        <v>32</v>
      </c>
      <c r="C3" s="11" t="s">
        <v>33</v>
      </c>
    </row>
    <row r="4" spans="2:5">
      <c r="B4" s="11" t="s">
        <v>34</v>
      </c>
      <c r="C4" s="16">
        <v>46104</v>
      </c>
      <c r="D4" s="16">
        <v>46206</v>
      </c>
      <c r="E4" t="s">
        <v>29</v>
      </c>
    </row>
    <row r="5" spans="2:5">
      <c r="B5" s="12" t="s">
        <v>21</v>
      </c>
      <c r="C5" s="14">
        <v>41.03</v>
      </c>
      <c r="D5" s="14"/>
      <c r="E5" s="14">
        <v>41.03</v>
      </c>
    </row>
    <row r="6" spans="2:5">
      <c r="B6" s="12" t="s">
        <v>27</v>
      </c>
      <c r="C6" s="14"/>
      <c r="D6" s="14">
        <v>296.8</v>
      </c>
      <c r="E6" s="14">
        <v>296.8</v>
      </c>
    </row>
    <row r="7" spans="2:5">
      <c r="B7" s="12" t="s">
        <v>29</v>
      </c>
      <c r="C7" s="14">
        <v>41.03</v>
      </c>
      <c r="D7" s="14">
        <v>296.8</v>
      </c>
      <c r="E7" s="14">
        <v>337.83000000000004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ABAA-FB83-4F76-B9C5-04D5B93CA68A}">
  <dimension ref="B3:E10"/>
  <sheetViews>
    <sheetView topLeftCell="A6" workbookViewId="0">
      <selection activeCell="A3" sqref="A3"/>
    </sheetView>
  </sheetViews>
  <sheetFormatPr defaultRowHeight="14.45"/>
  <cols>
    <col min="2" max="2" width="70.140625" customWidth="1"/>
    <col min="3" max="3" width="22.28515625" bestFit="1" customWidth="1"/>
    <col min="4" max="4" width="11.28515625" bestFit="1" customWidth="1"/>
    <col min="5" max="5" width="18.5703125" bestFit="1" customWidth="1"/>
    <col min="6" max="7" width="7.85546875" bestFit="1" customWidth="1"/>
    <col min="8" max="8" width="6.85546875" bestFit="1" customWidth="1"/>
    <col min="9" max="9" width="17.28515625" bestFit="1" customWidth="1"/>
    <col min="10" max="40" width="10.28515625" bestFit="1" customWidth="1"/>
    <col min="41" max="41" width="6.85546875" bestFit="1" customWidth="1"/>
    <col min="42" max="42" width="17.28515625" bestFit="1" customWidth="1"/>
  </cols>
  <sheetData>
    <row r="3" spans="2:5">
      <c r="B3" s="11" t="s">
        <v>32</v>
      </c>
      <c r="C3" s="11" t="s">
        <v>33</v>
      </c>
    </row>
    <row r="4" spans="2:5">
      <c r="B4" s="11" t="s">
        <v>34</v>
      </c>
      <c r="C4" s="16">
        <v>46104</v>
      </c>
      <c r="D4" s="16">
        <v>46206</v>
      </c>
      <c r="E4" t="s">
        <v>29</v>
      </c>
    </row>
    <row r="5" spans="2:5">
      <c r="B5" s="12" t="s">
        <v>21</v>
      </c>
      <c r="C5" s="14">
        <v>41.03</v>
      </c>
      <c r="D5" s="14"/>
      <c r="E5" s="14">
        <v>41.03</v>
      </c>
    </row>
    <row r="6" spans="2:5">
      <c r="B6" s="13" t="s">
        <v>19</v>
      </c>
      <c r="C6" s="14">
        <v>26.89</v>
      </c>
      <c r="D6" s="14"/>
      <c r="E6" s="14">
        <v>26.89</v>
      </c>
    </row>
    <row r="7" spans="2:5">
      <c r="B7" s="13" t="s">
        <v>23</v>
      </c>
      <c r="C7" s="14">
        <v>14.14</v>
      </c>
      <c r="D7" s="14"/>
      <c r="E7" s="14">
        <v>14.14</v>
      </c>
    </row>
    <row r="8" spans="2:5">
      <c r="B8" s="12" t="s">
        <v>27</v>
      </c>
      <c r="C8" s="14"/>
      <c r="D8" s="14">
        <v>296.8</v>
      </c>
      <c r="E8" s="14">
        <v>296.8</v>
      </c>
    </row>
    <row r="9" spans="2:5">
      <c r="B9" s="13" t="s">
        <v>26</v>
      </c>
      <c r="C9" s="14"/>
      <c r="D9" s="14">
        <v>296.8</v>
      </c>
      <c r="E9" s="14">
        <v>296.8</v>
      </c>
    </row>
    <row r="10" spans="2:5">
      <c r="B10" s="12" t="s">
        <v>29</v>
      </c>
      <c r="C10" s="14">
        <v>41.03</v>
      </c>
      <c r="D10" s="14">
        <v>296.8</v>
      </c>
      <c r="E10" s="14">
        <v>337.83000000000004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7D1D34D5473C4C8E9B3C97F48F20EB" ma:contentTypeVersion="4" ma:contentTypeDescription="Creare un nuovo documento." ma:contentTypeScope="" ma:versionID="c0076f8b9e52efbce9ad6d69958dfa88">
  <xsd:schema xmlns:xsd="http://www.w3.org/2001/XMLSchema" xmlns:xs="http://www.w3.org/2001/XMLSchema" xmlns:p="http://schemas.microsoft.com/office/2006/metadata/properties" xmlns:ns2="206bb645-aa88-4b2a-912d-8e42d1e09a0c" targetNamespace="http://schemas.microsoft.com/office/2006/metadata/properties" ma:root="true" ma:fieldsID="92980a766b61393eedc4ff77224ee946" ns2:_="">
    <xsd:import namespace="206bb645-aa88-4b2a-912d-8e42d1e09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bb645-aa88-4b2a-912d-8e42d1e09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F80ED-6D3D-4074-ABFD-5854C12B37E0}"/>
</file>

<file path=customXml/itemProps2.xml><?xml version="1.0" encoding="utf-8"?>
<ds:datastoreItem xmlns:ds="http://schemas.openxmlformats.org/officeDocument/2006/customXml" ds:itemID="{5A1030B6-9E69-4960-A835-CAEE621B97E9}"/>
</file>

<file path=customXml/itemProps3.xml><?xml version="1.0" encoding="utf-8"?>
<ds:datastoreItem xmlns:ds="http://schemas.openxmlformats.org/officeDocument/2006/customXml" ds:itemID="{96E61990-D34C-41A5-A901-C93088952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Gandolla</dc:creator>
  <cp:keywords/>
  <dc:description/>
  <cp:lastModifiedBy>Giovanni Prinetti</cp:lastModifiedBy>
  <cp:revision/>
  <dcterms:created xsi:type="dcterms:W3CDTF">2026-07-03T09:34:31Z</dcterms:created>
  <dcterms:modified xsi:type="dcterms:W3CDTF">2026-07-03T09:42:46Z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0x010100E37D1D34D5473C4C8E9B3C97F48F20EB</vt:lpwstr>
  </property>
</Properties>
</file>